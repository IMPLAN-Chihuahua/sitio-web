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CURSOS HUMANOS Y MATERIALES\SIF 2026\3ER TRIMESTRE 2026\"/>
    </mc:Choice>
  </mc:AlternateContent>
  <xr:revisionPtr revIDLastSave="0" documentId="13_ncr:1_{C0D4B52D-E572-42AD-9894-499CB9E07F78}" xr6:coauthVersionLast="47" xr6:coauthVersionMax="47" xr10:uidLastSave="{00000000-0000-0000-0000-000000000000}"/>
  <bookViews>
    <workbookView xWindow="28680" yWindow="-120" windowWidth="29040" windowHeight="15840" xr2:uid="{CFFEA520-DEFB-491B-8433-BD492039FE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L5" i="1" l="1"/>
  <c r="M6" i="1"/>
  <c r="L6" i="1"/>
  <c r="M5" i="1"/>
  <c r="M4" i="1"/>
  <c r="L4" i="1"/>
</calcChain>
</file>

<file path=xl/sharedStrings.xml><?xml version="1.0" encoding="utf-8"?>
<sst xmlns="http://schemas.openxmlformats.org/spreadsheetml/2006/main" count="25" uniqueCount="22">
  <si>
    <t>Inversión</t>
  </si>
  <si>
    <t>Metas</t>
  </si>
  <si>
    <t>% Avance Financiero</t>
  </si>
  <si>
    <t>% Avance Metas</t>
  </si>
  <si>
    <t>Capitulo</t>
  </si>
  <si>
    <t>Descripción de la actividad</t>
  </si>
  <si>
    <t>CONCEPTO</t>
  </si>
  <si>
    <t>Descripción UR</t>
  </si>
  <si>
    <t>Aprobado</t>
  </si>
  <si>
    <t>Modificado</t>
  </si>
  <si>
    <t>Devengado</t>
  </si>
  <si>
    <t>Unidad de Medida</t>
  </si>
  <si>
    <t>Programado</t>
  </si>
  <si>
    <t>Alcanzado</t>
  </si>
  <si>
    <t>Equipamiento de oficinas</t>
  </si>
  <si>
    <t>Mobiliario y equipo de administracion</t>
  </si>
  <si>
    <t>Equipo adquirido</t>
  </si>
  <si>
    <t>Mobiliario y equipo educacional y recreativo</t>
  </si>
  <si>
    <t>Activos Intangibles</t>
  </si>
  <si>
    <t>Equipo de computo</t>
  </si>
  <si>
    <t>INSTITUTO DE PLANEACIÓN INTEGRAL DEL MUNICIPIO DE CHIHUAHUA
Programas y Proyectos de Inversión
Del 01 de Enero al 30 de septiembre del 2026</t>
  </si>
  <si>
    <t>Software y Licencias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</si>
</sst>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\$#,##0.00;[Red]\-\$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3" fillId="0" borderId="0"/>
  </cellStyleXfs>
  <cellXfs count="50">
    <xf numFmtId="0" fontId="0" fillId="0" borderId="0" xfId="0"/>
    <xf numFmtId="0" fontId="2" fillId="2" borderId="4" xfId="3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3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left" vertical="center" wrapText="1"/>
      <protection locked="0"/>
    </xf>
    <xf numFmtId="9" fontId="4" fillId="0" borderId="7" xfId="2" applyFont="1" applyFill="1" applyBorder="1" applyAlignment="1" applyProtection="1">
      <alignment horizontal="center" vertical="center"/>
      <protection locked="0"/>
    </xf>
    <xf numFmtId="9" fontId="4" fillId="0" borderId="4" xfId="2" applyFont="1" applyFill="1" applyBorder="1" applyAlignment="1" applyProtection="1">
      <alignment horizontal="center" vertical="center"/>
      <protection locked="0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wrapText="1"/>
    </xf>
    <xf numFmtId="9" fontId="4" fillId="0" borderId="9" xfId="2" applyFont="1" applyFill="1" applyBorder="1" applyAlignment="1" applyProtection="1">
      <alignment horizontal="center" vertical="center"/>
      <protection locked="0"/>
    </xf>
    <xf numFmtId="9" fontId="4" fillId="0" borderId="10" xfId="2" applyFont="1" applyFill="1" applyBorder="1" applyAlignment="1" applyProtection="1">
      <alignment horizontal="center" vertical="center"/>
      <protection locked="0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9" fontId="4" fillId="0" borderId="11" xfId="2" applyFont="1" applyFill="1" applyBorder="1" applyAlignment="1" applyProtection="1">
      <alignment horizontal="center" vertical="center"/>
      <protection locked="0"/>
    </xf>
    <xf numFmtId="9" fontId="4" fillId="0" borderId="5" xfId="2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44" fontId="0" fillId="0" borderId="0" xfId="0" applyNumberFormat="1"/>
    <xf numFmtId="164" fontId="5" fillId="0" borderId="0" xfId="0" applyNumberFormat="1" applyFont="1"/>
    <xf numFmtId="44" fontId="4" fillId="0" borderId="8" xfId="1" applyFont="1" applyFill="1" applyBorder="1" applyAlignment="1" applyProtection="1">
      <alignment horizontal="center" vertical="center" wrapText="1"/>
      <protection locked="0"/>
    </xf>
    <xf numFmtId="44" fontId="4" fillId="0" borderId="4" xfId="1" applyFont="1" applyFill="1" applyBorder="1" applyAlignment="1" applyProtection="1">
      <alignment horizontal="center" vertical="center" wrapText="1"/>
      <protection locked="0"/>
    </xf>
    <xf numFmtId="44" fontId="4" fillId="0" borderId="0" xfId="1" applyFont="1" applyFill="1" applyBorder="1" applyAlignment="1" applyProtection="1">
      <alignment horizontal="center" vertical="center" wrapText="1"/>
      <protection locked="0"/>
    </xf>
    <xf numFmtId="44" fontId="4" fillId="0" borderId="12" xfId="1" applyFont="1" applyFill="1" applyBorder="1" applyAlignment="1" applyProtection="1">
      <alignment horizontal="center" vertical="center" wrapText="1"/>
      <protection locked="0"/>
    </xf>
    <xf numFmtId="44" fontId="4" fillId="0" borderId="10" xfId="1" applyFont="1" applyFill="1" applyBorder="1" applyAlignment="1" applyProtection="1">
      <alignment horizontal="center" vertical="center" wrapText="1"/>
      <protection locked="0"/>
    </xf>
    <xf numFmtId="44" fontId="4" fillId="0" borderId="12" xfId="1" applyFont="1" applyBorder="1" applyAlignment="1">
      <alignment horizontal="center" vertical="center" wrapText="1"/>
    </xf>
    <xf numFmtId="44" fontId="4" fillId="0" borderId="5" xfId="1" applyFont="1" applyBorder="1" applyAlignment="1">
      <alignment horizontal="center" vertical="center" wrapText="1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3" fontId="4" fillId="0" borderId="8" xfId="0" applyNumberFormat="1" applyFont="1" applyBorder="1" applyAlignment="1" applyProtection="1">
      <alignment horizontal="center" vertical="center" wrapText="1"/>
      <protection locked="0"/>
    </xf>
    <xf numFmtId="3" fontId="4" fillId="0" borderId="4" xfId="0" applyNumberFormat="1" applyFont="1" applyBorder="1" applyAlignment="1" applyProtection="1">
      <alignment horizontal="center" vertical="center" wrapText="1"/>
      <protection locked="0"/>
    </xf>
    <xf numFmtId="3" fontId="4" fillId="0" borderId="0" xfId="0" applyNumberFormat="1" applyFont="1" applyAlignment="1">
      <alignment horizontal="center" vertical="center"/>
    </xf>
    <xf numFmtId="3" fontId="4" fillId="0" borderId="10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0" fontId="2" fillId="2" borderId="3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4" applyFont="1" applyFill="1" applyBorder="1" applyAlignment="1">
      <alignment horizontal="center" vertical="center" wrapText="1"/>
    </xf>
    <xf numFmtId="0" fontId="2" fillId="2" borderId="5" xfId="4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4" xfId="0" applyFont="1" applyBorder="1" applyAlignment="1" applyProtection="1">
      <alignment horizontal="center" vertical="center" wrapText="1"/>
      <protection locked="0"/>
    </xf>
  </cellXfs>
  <cellStyles count="5">
    <cellStyle name="Moneda" xfId="1" builtinId="4"/>
    <cellStyle name="Normal" xfId="0" builtinId="0"/>
    <cellStyle name="Normal 4 2" xfId="4" xr:uid="{00E96659-CA2A-46A7-A713-37159BE9247C}"/>
    <cellStyle name="Normal_141008Reportes Cuadros Institucionales-sectorialesADV" xfId="3" xr:uid="{B42C0CA9-8EDD-4B46-B6BE-30061463B5EB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5EF0-12E5-404B-B5E0-FCADA14D2266}">
  <dimension ref="A1:M11"/>
  <sheetViews>
    <sheetView showGridLines="0" showRowColHeaders="0" tabSelected="1" workbookViewId="0">
      <selection activeCell="B4" sqref="B4"/>
    </sheetView>
  </sheetViews>
  <sheetFormatPr baseColWidth="10" defaultRowHeight="15" x14ac:dyDescent="0.25"/>
  <cols>
    <col min="2" max="2" width="23.28515625" customWidth="1"/>
    <col min="5" max="5" width="14.140625" bestFit="1" customWidth="1"/>
    <col min="6" max="6" width="12" bestFit="1" customWidth="1"/>
    <col min="7" max="7" width="12.5703125" bestFit="1" customWidth="1"/>
    <col min="8" max="8" width="19.85546875" customWidth="1"/>
  </cols>
  <sheetData>
    <row r="1" spans="1:13" ht="40.5" customHeight="1" x14ac:dyDescent="0.25">
      <c r="A1" s="38" t="s">
        <v>20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40"/>
    </row>
    <row r="2" spans="1:13" x14ac:dyDescent="0.25">
      <c r="A2" s="1"/>
      <c r="B2" s="1"/>
      <c r="C2" s="1"/>
      <c r="D2" s="1"/>
      <c r="E2" s="2"/>
      <c r="F2" s="3" t="s">
        <v>0</v>
      </c>
      <c r="G2" s="4"/>
      <c r="H2" s="41" t="s">
        <v>1</v>
      </c>
      <c r="I2" s="42"/>
      <c r="J2" s="42"/>
      <c r="K2" s="43"/>
      <c r="L2" s="44" t="s">
        <v>2</v>
      </c>
      <c r="M2" s="46" t="s">
        <v>3</v>
      </c>
    </row>
    <row r="3" spans="1:13" ht="22.5" x14ac:dyDescent="0.25">
      <c r="A3" s="5" t="s">
        <v>4</v>
      </c>
      <c r="B3" s="5" t="s">
        <v>5</v>
      </c>
      <c r="C3" s="5" t="s">
        <v>6</v>
      </c>
      <c r="D3" s="5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9</v>
      </c>
      <c r="K3" s="6" t="s">
        <v>13</v>
      </c>
      <c r="L3" s="45"/>
      <c r="M3" s="47"/>
    </row>
    <row r="4" spans="1:13" ht="40.5" customHeight="1" x14ac:dyDescent="0.25">
      <c r="A4" s="7">
        <v>5000</v>
      </c>
      <c r="B4" s="49" t="s">
        <v>14</v>
      </c>
      <c r="C4" s="8">
        <v>5100</v>
      </c>
      <c r="D4" s="9" t="s">
        <v>15</v>
      </c>
      <c r="E4" s="23">
        <v>305400</v>
      </c>
      <c r="F4" s="24">
        <v>237034.21</v>
      </c>
      <c r="G4" s="23">
        <v>237034.21</v>
      </c>
      <c r="H4" s="30" t="s">
        <v>16</v>
      </c>
      <c r="I4" s="33">
        <v>32</v>
      </c>
      <c r="J4" s="34">
        <v>33</v>
      </c>
      <c r="K4" s="33">
        <v>33</v>
      </c>
      <c r="L4" s="10">
        <f>G4/F4</f>
        <v>1</v>
      </c>
      <c r="M4" s="11">
        <f>+K4/J4</f>
        <v>1</v>
      </c>
    </row>
    <row r="5" spans="1:13" ht="45.75" x14ac:dyDescent="0.25">
      <c r="A5" s="12">
        <v>5000</v>
      </c>
      <c r="B5" s="48" t="s">
        <v>19</v>
      </c>
      <c r="C5" s="20">
        <v>5200</v>
      </c>
      <c r="D5" s="13" t="s">
        <v>17</v>
      </c>
      <c r="E5" s="25">
        <v>1345215.25</v>
      </c>
      <c r="F5" s="27">
        <v>1552601.66</v>
      </c>
      <c r="G5" s="25">
        <v>74579.69</v>
      </c>
      <c r="H5" s="37" t="s">
        <v>16</v>
      </c>
      <c r="I5" s="35">
        <v>21</v>
      </c>
      <c r="J5" s="36">
        <v>22</v>
      </c>
      <c r="K5" s="35">
        <v>1</v>
      </c>
      <c r="L5" s="14">
        <f>G5/F5</f>
        <v>4.8035302242302125E-2</v>
      </c>
      <c r="M5" s="15">
        <f t="shared" ref="M5:M6" si="0">+K5/J5</f>
        <v>4.5454545454545456E-2</v>
      </c>
    </row>
    <row r="6" spans="1:13" ht="45" customHeight="1" x14ac:dyDescent="0.25">
      <c r="A6" s="16">
        <v>5000</v>
      </c>
      <c r="B6" s="31" t="s">
        <v>18</v>
      </c>
      <c r="C6" s="17">
        <v>5900</v>
      </c>
      <c r="D6" s="32" t="s">
        <v>21</v>
      </c>
      <c r="E6" s="28">
        <v>573338.38</v>
      </c>
      <c r="F6" s="29">
        <v>291372.28000000003</v>
      </c>
      <c r="G6" s="26">
        <v>291372.28000000003</v>
      </c>
      <c r="H6" s="31" t="s">
        <v>16</v>
      </c>
      <c r="I6" s="17">
        <v>4</v>
      </c>
      <c r="J6" s="31">
        <f>I6</f>
        <v>4</v>
      </c>
      <c r="K6" s="17">
        <v>2</v>
      </c>
      <c r="L6" s="18">
        <f t="shared" ref="L6" si="1">G6/F6</f>
        <v>1</v>
      </c>
      <c r="M6" s="19">
        <f t="shared" si="0"/>
        <v>0.5</v>
      </c>
    </row>
    <row r="8" spans="1:13" x14ac:dyDescent="0.25">
      <c r="E8" s="21"/>
      <c r="F8" s="21"/>
    </row>
    <row r="9" spans="1:13" x14ac:dyDescent="0.25">
      <c r="E9" s="21"/>
      <c r="F9" s="22"/>
    </row>
    <row r="11" spans="1:13" x14ac:dyDescent="0.25">
      <c r="G11" s="21"/>
      <c r="H11" s="21"/>
    </row>
  </sheetData>
  <mergeCells count="4">
    <mergeCell ref="A1:M1"/>
    <mergeCell ref="H2:K2"/>
    <mergeCell ref="L2:L3"/>
    <mergeCell ref="M2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Martha Gricel Robles Hernandez</dc:creator>
  <cp:lastModifiedBy>Martha Gricel Robles Hernandez</cp:lastModifiedBy>
  <dcterms:created xsi:type="dcterms:W3CDTF">2026-02-13T18:28:56Z</dcterms:created>
  <dcterms:modified xsi:type="dcterms:W3CDTF">2026-10-26T17:06:26Z</dcterms:modified>
</cp:coreProperties>
</file>